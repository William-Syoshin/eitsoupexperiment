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zufumi/Desktop/EIT Soup Project/"/>
    </mc:Choice>
  </mc:AlternateContent>
  <xr:revisionPtr revIDLastSave="0" documentId="8_{144796BE-2339-8B42-AB72-3880A6BC8EFF}" xr6:coauthVersionLast="47" xr6:coauthVersionMax="47" xr10:uidLastSave="{00000000-0000-0000-0000-000000000000}"/>
  <bookViews>
    <workbookView xWindow="0" yWindow="760" windowWidth="34200" windowHeight="21480" xr2:uid="{5BE0D37F-AB40-0B47-848C-5D8CB3F44DDD}"/>
  </bookViews>
  <sheets>
    <sheet name="t-C,Cond_graph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3" i="1" l="1"/>
  <c r="F83" i="1" s="1"/>
  <c r="E82" i="1"/>
  <c r="F82" i="1" s="1"/>
  <c r="E81" i="1"/>
  <c r="F81" i="1" s="1"/>
  <c r="E80" i="1"/>
  <c r="F80" i="1" s="1"/>
  <c r="E79" i="1"/>
  <c r="F79" i="1" s="1"/>
  <c r="E78" i="1"/>
  <c r="F78" i="1" s="1"/>
  <c r="E77" i="1"/>
  <c r="F77" i="1" s="1"/>
  <c r="E76" i="1"/>
  <c r="F76" i="1" s="1"/>
  <c r="E75" i="1"/>
  <c r="F75" i="1" s="1"/>
  <c r="E74" i="1"/>
  <c r="F74" i="1" s="1"/>
  <c r="E73" i="1"/>
  <c r="F73" i="1" s="1"/>
  <c r="E72" i="1"/>
  <c r="F72" i="1" s="1"/>
  <c r="E71" i="1"/>
  <c r="F71" i="1" s="1"/>
  <c r="E70" i="1"/>
  <c r="F70" i="1" s="1"/>
  <c r="E69" i="1"/>
  <c r="F69" i="1" s="1"/>
  <c r="E68" i="1"/>
  <c r="F68" i="1" s="1"/>
  <c r="E67" i="1"/>
  <c r="F67" i="1" s="1"/>
  <c r="E66" i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</calcChain>
</file>

<file path=xl/sharedStrings.xml><?xml version="1.0" encoding="utf-8"?>
<sst xmlns="http://schemas.openxmlformats.org/spreadsheetml/2006/main" count="78" uniqueCount="23">
  <si>
    <t>water</t>
    <phoneticPr fontId="1"/>
  </si>
  <si>
    <t>OL</t>
    <phoneticPr fontId="1"/>
  </si>
  <si>
    <t>PID</t>
    <phoneticPr fontId="1"/>
  </si>
  <si>
    <t>STR</t>
    <phoneticPr fontId="1"/>
  </si>
  <si>
    <t>step</t>
    <phoneticPr fontId="1"/>
  </si>
  <si>
    <t>t</t>
    <phoneticPr fontId="1"/>
  </si>
  <si>
    <t>σ</t>
    <phoneticPr fontId="1"/>
  </si>
  <si>
    <t>T</t>
    <phoneticPr fontId="1"/>
  </si>
  <si>
    <t>σ compensated</t>
    <phoneticPr fontId="1"/>
  </si>
  <si>
    <t>C</t>
    <phoneticPr fontId="1"/>
  </si>
  <si>
    <t>C_assume</t>
    <phoneticPr fontId="1"/>
  </si>
  <si>
    <t>Salt_added</t>
    <phoneticPr fontId="1"/>
  </si>
  <si>
    <t>C_real</t>
    <phoneticPr fontId="1"/>
  </si>
  <si>
    <t>Alpha</t>
    <phoneticPr fontId="1"/>
  </si>
  <si>
    <t>Beta</t>
    <phoneticPr fontId="1"/>
  </si>
  <si>
    <t>Miso Soup</t>
    <phoneticPr fontId="1"/>
  </si>
  <si>
    <t>miso</t>
    <phoneticPr fontId="1"/>
  </si>
  <si>
    <t>a</t>
    <phoneticPr fontId="1"/>
  </si>
  <si>
    <t>b</t>
    <phoneticPr fontId="1"/>
  </si>
  <si>
    <t>Miso tofu</t>
    <phoneticPr fontId="1"/>
  </si>
  <si>
    <t>miso tofu</t>
    <phoneticPr fontId="1"/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</si>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</sst>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2AD84-1BB9-2046-AF94-B29F6DBA69C0}">
  <dimension ref="A1:X83"/>
  <sheetViews>
    <sheetView tabSelected="1" topLeftCell="A16" zoomScale="62" zoomScaleNormal="62" workbookViewId="0">
      <selection activeCell="R80" sqref="R80"/>
    </sheetView>
  </sheetViews>
  <sheetFormatPr baseColWidth="10" defaultRowHeight="20"/>
  <cols>
    <col min="5" max="5" width="14.28515625" customWidth="1"/>
    <col min="9" max="9" width="13.28515625" customWidth="1"/>
    <col min="15" max="15" width="15.85546875" customWidth="1"/>
  </cols>
  <sheetData>
    <row r="1" spans="1:20">
      <c r="B1" t="s">
        <v>0</v>
      </c>
    </row>
    <row r="2" spans="1:20">
      <c r="C2" t="s">
        <v>1</v>
      </c>
      <c r="G2" t="s">
        <v>2</v>
      </c>
      <c r="M2" t="s">
        <v>3</v>
      </c>
    </row>
    <row r="3" spans="1:20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6</v>
      </c>
      <c r="H3" t="s">
        <v>7</v>
      </c>
      <c r="I3" t="s">
        <v>8</v>
      </c>
      <c r="J3" t="s">
        <v>10</v>
      </c>
      <c r="K3" t="s">
        <v>11</v>
      </c>
      <c r="L3" t="s">
        <v>12</v>
      </c>
      <c r="M3" t="s">
        <v>6</v>
      </c>
      <c r="N3" t="s">
        <v>7</v>
      </c>
      <c r="O3" t="s">
        <v>8</v>
      </c>
      <c r="P3" t="s">
        <v>10</v>
      </c>
      <c r="Q3" t="s">
        <v>11</v>
      </c>
      <c r="R3" t="s">
        <v>12</v>
      </c>
      <c r="S3" t="s">
        <v>13</v>
      </c>
      <c r="T3" t="s">
        <v>14</v>
      </c>
    </row>
    <row r="4" spans="1:20">
      <c r="A4">
        <v>1</v>
      </c>
      <c r="B4">
        <v>30</v>
      </c>
      <c r="E4">
        <v>8.2562999999999995</v>
      </c>
      <c r="F4">
        <v>1</v>
      </c>
      <c r="H4">
        <v>46.95</v>
      </c>
      <c r="I4">
        <v>0.218</v>
      </c>
      <c r="J4">
        <v>-5.0000000000000001E-4</v>
      </c>
      <c r="K4">
        <v>0.5</v>
      </c>
      <c r="L4">
        <v>-4.3275855477239642E-4</v>
      </c>
      <c r="N4">
        <v>52.81</v>
      </c>
      <c r="O4">
        <v>0.24399999999999999</v>
      </c>
      <c r="P4">
        <v>1E-4</v>
      </c>
      <c r="Q4">
        <v>0.5</v>
      </c>
      <c r="R4">
        <v>2.2122203773867758E-4</v>
      </c>
      <c r="S4">
        <v>8.1013000000000002</v>
      </c>
      <c r="T4">
        <v>0.15598600000000001</v>
      </c>
    </row>
    <row r="5" spans="1:20">
      <c r="A5">
        <v>2</v>
      </c>
      <c r="B5">
        <v>60</v>
      </c>
      <c r="E5">
        <v>8.2562999999999995</v>
      </c>
      <c r="F5">
        <v>1</v>
      </c>
      <c r="H5">
        <v>50.66</v>
      </c>
      <c r="I5">
        <v>1.5169999999999999</v>
      </c>
      <c r="J5">
        <v>0.104</v>
      </c>
      <c r="K5">
        <v>1</v>
      </c>
      <c r="L5">
        <v>0.10461422666362155</v>
      </c>
      <c r="N5">
        <v>52.43</v>
      </c>
      <c r="O5">
        <v>1.0780000000000001</v>
      </c>
      <c r="P5">
        <v>6.6400000000000001E-2</v>
      </c>
      <c r="Q5">
        <v>1</v>
      </c>
      <c r="R5">
        <v>6.6793306981395476E-2</v>
      </c>
      <c r="S5">
        <v>7.3387440000000002</v>
      </c>
      <c r="T5">
        <v>0.118739</v>
      </c>
    </row>
    <row r="6" spans="1:20">
      <c r="A6">
        <v>3</v>
      </c>
      <c r="B6">
        <v>90</v>
      </c>
      <c r="E6">
        <v>8.2562999999999995</v>
      </c>
      <c r="F6">
        <v>1</v>
      </c>
      <c r="H6">
        <v>51.48</v>
      </c>
      <c r="I6">
        <v>2.91</v>
      </c>
      <c r="J6">
        <v>0.2145</v>
      </c>
      <c r="K6">
        <v>1.5</v>
      </c>
      <c r="L6">
        <v>0.21570095651263577</v>
      </c>
      <c r="N6">
        <v>51.55</v>
      </c>
      <c r="O6">
        <v>2.14</v>
      </c>
      <c r="P6">
        <v>0.1525</v>
      </c>
      <c r="Q6">
        <v>1.5</v>
      </c>
      <c r="R6">
        <v>0.15340491393503763</v>
      </c>
      <c r="S6">
        <v>7.5621710000000002</v>
      </c>
      <c r="T6">
        <v>0.116244</v>
      </c>
    </row>
    <row r="7" spans="1:20">
      <c r="A7">
        <v>4</v>
      </c>
      <c r="B7">
        <v>120</v>
      </c>
      <c r="E7">
        <v>8.2562999999999995</v>
      </c>
      <c r="F7">
        <v>1</v>
      </c>
      <c r="H7">
        <v>50.97</v>
      </c>
      <c r="I7">
        <v>4.17</v>
      </c>
      <c r="J7">
        <v>0.31790000000000002</v>
      </c>
      <c r="K7">
        <v>2</v>
      </c>
      <c r="L7">
        <v>0.31964060208057749</v>
      </c>
      <c r="N7">
        <v>50.9</v>
      </c>
      <c r="O7">
        <v>3.36</v>
      </c>
      <c r="P7">
        <v>0.25269999999999998</v>
      </c>
      <c r="Q7">
        <v>2</v>
      </c>
      <c r="R7">
        <v>0.2540874594420483</v>
      </c>
      <c r="S7">
        <v>8.1816099999999992</v>
      </c>
      <c r="T7">
        <v>8.7423000000000001E-2</v>
      </c>
    </row>
    <row r="8" spans="1:20">
      <c r="A8">
        <v>5</v>
      </c>
      <c r="B8">
        <v>150</v>
      </c>
      <c r="E8">
        <v>8.2562999999999995</v>
      </c>
      <c r="F8">
        <v>1</v>
      </c>
      <c r="H8">
        <v>52.06</v>
      </c>
      <c r="I8">
        <v>5.51</v>
      </c>
      <c r="J8">
        <v>0.4199</v>
      </c>
      <c r="K8">
        <v>2.5</v>
      </c>
      <c r="L8">
        <v>0.42217128824530858</v>
      </c>
      <c r="N8">
        <v>50.25</v>
      </c>
      <c r="O8">
        <v>4.3899999999999997</v>
      </c>
      <c r="P8">
        <v>0.33900000000000002</v>
      </c>
      <c r="Q8">
        <v>2.5</v>
      </c>
      <c r="R8">
        <v>0.34092596516542828</v>
      </c>
      <c r="S8">
        <v>8.3747889999999998</v>
      </c>
      <c r="T8">
        <v>7.2572999999999999E-2</v>
      </c>
    </row>
    <row r="9" spans="1:20">
      <c r="A9">
        <v>6</v>
      </c>
      <c r="B9">
        <v>180</v>
      </c>
      <c r="E9">
        <v>8.2562999999999995</v>
      </c>
      <c r="F9">
        <v>1</v>
      </c>
      <c r="H9">
        <v>51.55</v>
      </c>
      <c r="I9">
        <v>6.64</v>
      </c>
      <c r="J9">
        <v>0.51339999999999997</v>
      </c>
      <c r="K9">
        <v>3</v>
      </c>
      <c r="L9">
        <v>0.51621772035312841</v>
      </c>
      <c r="N9">
        <v>49.33</v>
      </c>
      <c r="O9">
        <v>5.5</v>
      </c>
      <c r="P9">
        <v>0.43509999999999999</v>
      </c>
      <c r="Q9">
        <v>3</v>
      </c>
      <c r="R9">
        <v>0.43754921754780168</v>
      </c>
      <c r="S9">
        <v>8.5647579999999994</v>
      </c>
      <c r="T9">
        <v>5.2539000000000002E-2</v>
      </c>
    </row>
    <row r="10" spans="1:20">
      <c r="A10">
        <v>7</v>
      </c>
      <c r="B10">
        <v>210</v>
      </c>
      <c r="E10">
        <v>8.2562999999999995</v>
      </c>
      <c r="F10">
        <v>1</v>
      </c>
      <c r="H10">
        <v>51.17</v>
      </c>
      <c r="I10">
        <v>7.73</v>
      </c>
      <c r="J10">
        <v>0.60389999999999999</v>
      </c>
      <c r="K10">
        <v>3.5</v>
      </c>
      <c r="L10">
        <v>0.60720824865758305</v>
      </c>
      <c r="N10">
        <v>48.79</v>
      </c>
      <c r="O10">
        <v>6.32</v>
      </c>
      <c r="P10">
        <v>0.50660000000000005</v>
      </c>
      <c r="Q10">
        <v>3.5</v>
      </c>
      <c r="R10">
        <v>0.50947663863330173</v>
      </c>
      <c r="S10">
        <v>8.4725000000000001</v>
      </c>
      <c r="T10">
        <v>6.4819000000000002E-2</v>
      </c>
    </row>
    <row r="11" spans="1:20">
      <c r="A11">
        <v>8</v>
      </c>
      <c r="B11">
        <v>240</v>
      </c>
      <c r="E11">
        <v>8.2562999999999995</v>
      </c>
      <c r="F11">
        <v>1</v>
      </c>
      <c r="H11">
        <v>49.54</v>
      </c>
      <c r="I11">
        <v>8.9600000000000009</v>
      </c>
      <c r="J11">
        <v>0.71879999999999999</v>
      </c>
      <c r="K11">
        <v>4</v>
      </c>
      <c r="L11">
        <v>0.72274769086323676</v>
      </c>
      <c r="N11">
        <v>47.87</v>
      </c>
      <c r="O11">
        <v>7.48</v>
      </c>
      <c r="P11">
        <v>0.6109</v>
      </c>
      <c r="Q11">
        <v>4</v>
      </c>
      <c r="R11">
        <v>0.6143986287156108</v>
      </c>
      <c r="S11">
        <v>8.5645579999999999</v>
      </c>
      <c r="T11">
        <v>5.0065999999999999E-2</v>
      </c>
    </row>
    <row r="12" spans="1:20">
      <c r="A12">
        <v>9</v>
      </c>
      <c r="B12">
        <v>270</v>
      </c>
      <c r="E12">
        <v>8.2562999999999995</v>
      </c>
      <c r="F12">
        <v>1</v>
      </c>
      <c r="H12">
        <v>49.13</v>
      </c>
      <c r="I12">
        <v>9.93</v>
      </c>
      <c r="J12">
        <v>0.80320000000000003</v>
      </c>
      <c r="K12">
        <v>4.5</v>
      </c>
      <c r="L12">
        <v>0.80761028990440908</v>
      </c>
      <c r="N12">
        <v>47.02</v>
      </c>
      <c r="O12">
        <v>8.43</v>
      </c>
      <c r="P12">
        <v>0.69930000000000003</v>
      </c>
      <c r="Q12">
        <v>4.5</v>
      </c>
      <c r="R12">
        <v>0.70328724536114062</v>
      </c>
      <c r="S12">
        <v>8.6101279999999996</v>
      </c>
      <c r="T12">
        <v>4.1544999999999999E-2</v>
      </c>
    </row>
    <row r="13" spans="1:20">
      <c r="A13">
        <v>10</v>
      </c>
      <c r="B13">
        <v>300</v>
      </c>
      <c r="E13">
        <v>8.2562999999999995</v>
      </c>
      <c r="F13">
        <v>1</v>
      </c>
      <c r="H13">
        <v>48.55</v>
      </c>
      <c r="I13">
        <v>10.84</v>
      </c>
      <c r="J13">
        <v>0.88560000000000005</v>
      </c>
      <c r="K13">
        <v>5</v>
      </c>
      <c r="L13">
        <v>0.89049123495492233</v>
      </c>
      <c r="N13">
        <v>46.57</v>
      </c>
      <c r="O13">
        <v>9.27</v>
      </c>
      <c r="P13">
        <v>0.77580000000000005</v>
      </c>
      <c r="Q13">
        <v>5</v>
      </c>
      <c r="R13">
        <v>0.78026701507226903</v>
      </c>
      <c r="S13">
        <v>8.5736869999999996</v>
      </c>
      <c r="T13">
        <v>4.9320999999999997E-2</v>
      </c>
    </row>
    <row r="14" spans="1:20">
      <c r="A14">
        <v>11</v>
      </c>
      <c r="B14">
        <v>330</v>
      </c>
      <c r="E14">
        <v>8.2562999999999995</v>
      </c>
      <c r="F14">
        <v>1</v>
      </c>
      <c r="H14">
        <v>47.9</v>
      </c>
      <c r="I14">
        <v>11.88</v>
      </c>
      <c r="J14">
        <v>0.98119999999999996</v>
      </c>
      <c r="K14" s="1">
        <v>5.1413000000000002</v>
      </c>
      <c r="L14">
        <v>0.9866500621070875</v>
      </c>
      <c r="N14">
        <v>49.77</v>
      </c>
      <c r="O14">
        <v>10.5</v>
      </c>
      <c r="P14">
        <v>0.84299999999999997</v>
      </c>
      <c r="Q14">
        <v>5.5</v>
      </c>
      <c r="R14">
        <v>0.84758405444568907</v>
      </c>
      <c r="S14">
        <v>8.4580359999999999</v>
      </c>
      <c r="T14">
        <v>7.7026999999999998E-2</v>
      </c>
    </row>
    <row r="15" spans="1:20">
      <c r="A15">
        <v>12</v>
      </c>
      <c r="B15">
        <v>360</v>
      </c>
      <c r="E15">
        <v>8.2562999999999995</v>
      </c>
      <c r="F15">
        <v>1</v>
      </c>
      <c r="H15">
        <v>47.29</v>
      </c>
      <c r="I15">
        <v>12.4</v>
      </c>
      <c r="J15">
        <v>1.0337000000000001</v>
      </c>
      <c r="K15" s="1">
        <v>5.1413000000000002</v>
      </c>
      <c r="L15">
        <v>1.0395327424886034</v>
      </c>
      <c r="N15">
        <v>50.69</v>
      </c>
      <c r="O15">
        <v>11.21</v>
      </c>
      <c r="P15">
        <v>0.8901</v>
      </c>
      <c r="Q15">
        <v>6</v>
      </c>
      <c r="R15">
        <v>0.89494345885911941</v>
      </c>
      <c r="S15">
        <v>8.2405620000000006</v>
      </c>
      <c r="T15">
        <v>0.13496</v>
      </c>
    </row>
    <row r="16" spans="1:20">
      <c r="A16">
        <v>13</v>
      </c>
      <c r="B16">
        <v>390</v>
      </c>
      <c r="E16">
        <v>8.2562999999999995</v>
      </c>
      <c r="F16">
        <v>1</v>
      </c>
      <c r="H16">
        <v>49.26</v>
      </c>
      <c r="I16">
        <v>12.58</v>
      </c>
      <c r="J16">
        <v>1.0207999999999999</v>
      </c>
      <c r="K16">
        <v>5.1413000000000002</v>
      </c>
      <c r="L16">
        <v>1.0264080701069118</v>
      </c>
      <c r="N16">
        <v>49.57</v>
      </c>
      <c r="O16">
        <v>12.21</v>
      </c>
      <c r="P16">
        <v>0.98599999999999999</v>
      </c>
      <c r="Q16">
        <v>6.1040000000000001</v>
      </c>
      <c r="R16">
        <v>0.99143821943350929</v>
      </c>
      <c r="S16">
        <v>8.1502549999999996</v>
      </c>
      <c r="T16">
        <v>0.161494</v>
      </c>
    </row>
    <row r="17" spans="1:24">
      <c r="A17">
        <v>14</v>
      </c>
      <c r="B17">
        <v>420</v>
      </c>
      <c r="E17">
        <v>8.2562999999999995</v>
      </c>
      <c r="F17">
        <v>1</v>
      </c>
      <c r="H17">
        <v>50.08</v>
      </c>
      <c r="I17">
        <v>12.48</v>
      </c>
      <c r="J17">
        <v>1.0013000000000001</v>
      </c>
      <c r="K17">
        <v>5.2161</v>
      </c>
      <c r="L17">
        <v>1.0067686407808385</v>
      </c>
      <c r="N17">
        <v>49.06</v>
      </c>
      <c r="O17">
        <v>12.3</v>
      </c>
      <c r="P17">
        <v>1.0004</v>
      </c>
      <c r="Q17">
        <v>6.1639999999999997</v>
      </c>
      <c r="R17">
        <v>1.005897544193797</v>
      </c>
      <c r="S17">
        <v>8.0904819999999997</v>
      </c>
      <c r="T17">
        <v>0.17944299999999999</v>
      </c>
    </row>
    <row r="18" spans="1:24">
      <c r="A18">
        <v>15</v>
      </c>
      <c r="B18">
        <v>450</v>
      </c>
      <c r="E18">
        <v>8.2562999999999995</v>
      </c>
      <c r="F18">
        <v>1</v>
      </c>
      <c r="H18">
        <v>50.32</v>
      </c>
      <c r="I18">
        <v>12.56</v>
      </c>
      <c r="J18">
        <v>1.0045999999999999</v>
      </c>
      <c r="K18">
        <v>5.2602000000000002</v>
      </c>
      <c r="L18">
        <v>1.0100550399787336</v>
      </c>
      <c r="N18">
        <v>48.92</v>
      </c>
      <c r="O18">
        <v>12.33</v>
      </c>
      <c r="P18">
        <v>1.0047999999999999</v>
      </c>
      <c r="Q18">
        <v>6.1891999999999996</v>
      </c>
      <c r="R18">
        <v>1.01034369824564</v>
      </c>
      <c r="S18">
        <v>8.0403839999999995</v>
      </c>
      <c r="T18">
        <v>0.194713</v>
      </c>
    </row>
    <row r="19" spans="1:24">
      <c r="A19">
        <v>16</v>
      </c>
      <c r="B19">
        <v>480</v>
      </c>
      <c r="E19">
        <v>8.2562999999999995</v>
      </c>
      <c r="F19">
        <v>1</v>
      </c>
      <c r="H19">
        <v>50.18</v>
      </c>
      <c r="I19">
        <v>12.56</v>
      </c>
      <c r="J19">
        <v>1.0065</v>
      </c>
      <c r="K19">
        <v>5.2602000000000002</v>
      </c>
      <c r="L19">
        <v>1.0119715907641387</v>
      </c>
      <c r="N19">
        <v>50.25</v>
      </c>
      <c r="O19">
        <v>12.48</v>
      </c>
      <c r="P19">
        <v>0.999</v>
      </c>
      <c r="Q19">
        <v>6.2365000000000004</v>
      </c>
      <c r="R19">
        <v>1.0044509898394964</v>
      </c>
      <c r="S19">
        <v>7.9865930000000001</v>
      </c>
      <c r="T19">
        <v>0.211231</v>
      </c>
    </row>
    <row r="20" spans="1:24">
      <c r="A20">
        <v>17</v>
      </c>
      <c r="B20">
        <v>510</v>
      </c>
      <c r="E20">
        <v>8.2562999999999995</v>
      </c>
      <c r="F20">
        <v>1</v>
      </c>
      <c r="H20">
        <v>50.12</v>
      </c>
      <c r="I20">
        <v>12.56</v>
      </c>
      <c r="J20">
        <v>1.0073000000000001</v>
      </c>
      <c r="K20">
        <v>5.2602000000000002</v>
      </c>
      <c r="L20">
        <v>1.0127951565169724</v>
      </c>
      <c r="N20">
        <v>50.18</v>
      </c>
      <c r="O20">
        <v>12.43</v>
      </c>
      <c r="P20">
        <v>0.99590000000000001</v>
      </c>
      <c r="Q20" s="1">
        <v>6.3125999999999998</v>
      </c>
      <c r="R20">
        <v>1.0012993326485946</v>
      </c>
      <c r="S20">
        <v>7.9300540000000002</v>
      </c>
      <c r="T20">
        <v>0.22887299999999999</v>
      </c>
    </row>
    <row r="21" spans="1:24">
      <c r="A21">
        <v>18</v>
      </c>
      <c r="B21">
        <v>540</v>
      </c>
      <c r="E21">
        <v>8.2562999999999995</v>
      </c>
      <c r="F21">
        <v>1</v>
      </c>
      <c r="H21">
        <v>50.01</v>
      </c>
      <c r="I21">
        <v>12.51</v>
      </c>
      <c r="J21">
        <v>1.0046999999999999</v>
      </c>
      <c r="K21">
        <v>5.2602000000000002</v>
      </c>
      <c r="L21">
        <v>1.0101944315414686</v>
      </c>
      <c r="N21">
        <v>49.2</v>
      </c>
      <c r="O21">
        <v>12.47</v>
      </c>
      <c r="P21">
        <v>1.0125</v>
      </c>
      <c r="Q21" s="1">
        <v>6.3125999999999998</v>
      </c>
      <c r="R21">
        <v>1.0181038795710236</v>
      </c>
      <c r="S21">
        <v>7.8933489999999997</v>
      </c>
      <c r="T21">
        <v>0.240651</v>
      </c>
    </row>
    <row r="22" spans="1:24">
      <c r="A22">
        <v>19</v>
      </c>
      <c r="B22">
        <v>570</v>
      </c>
      <c r="E22">
        <v>8.2562999999999995</v>
      </c>
      <c r="F22">
        <v>1</v>
      </c>
      <c r="H22">
        <v>49.91</v>
      </c>
      <c r="I22">
        <v>12.54</v>
      </c>
      <c r="J22">
        <v>1.0085999999999999</v>
      </c>
      <c r="K22">
        <v>5.2602000000000002</v>
      </c>
      <c r="L22">
        <v>1.0140402222931426</v>
      </c>
      <c r="N22">
        <v>48.65</v>
      </c>
      <c r="O22">
        <v>12.52</v>
      </c>
      <c r="P22">
        <v>1.0244</v>
      </c>
      <c r="Q22">
        <v>6.3125999999999998</v>
      </c>
      <c r="R22">
        <v>1.030039691986105</v>
      </c>
      <c r="S22">
        <v>7.8796010000000001</v>
      </c>
      <c r="T22">
        <v>0.245063</v>
      </c>
    </row>
    <row r="23" spans="1:24">
      <c r="A23">
        <v>20</v>
      </c>
      <c r="B23">
        <v>600</v>
      </c>
      <c r="E23">
        <v>8.2562999999999995</v>
      </c>
      <c r="F23">
        <v>1</v>
      </c>
      <c r="H23">
        <v>49.88</v>
      </c>
      <c r="I23">
        <v>12.77</v>
      </c>
      <c r="J23">
        <v>1.0278</v>
      </c>
      <c r="K23">
        <v>5.2602000000000002</v>
      </c>
      <c r="L23">
        <v>1.0334114889865202</v>
      </c>
      <c r="N23">
        <v>48</v>
      </c>
      <c r="O23">
        <v>12.48</v>
      </c>
      <c r="P23">
        <v>1.0302</v>
      </c>
      <c r="Q23">
        <v>6.3125999999999998</v>
      </c>
      <c r="R23">
        <v>1.0359998031772004</v>
      </c>
      <c r="S23">
        <v>7.8750960000000001</v>
      </c>
      <c r="T23">
        <v>0.246508</v>
      </c>
    </row>
    <row r="24" spans="1:24">
      <c r="A24">
        <v>21</v>
      </c>
      <c r="B24">
        <v>630</v>
      </c>
      <c r="E24">
        <v>8.2562999999999995</v>
      </c>
      <c r="F24">
        <v>1</v>
      </c>
      <c r="H24">
        <v>49.77</v>
      </c>
      <c r="I24">
        <v>12.71</v>
      </c>
      <c r="J24">
        <v>1.0244</v>
      </c>
      <c r="K24">
        <v>5.2602000000000002</v>
      </c>
      <c r="L24">
        <v>1.0300073018330362</v>
      </c>
      <c r="N24">
        <v>47.7</v>
      </c>
      <c r="O24">
        <v>12.62</v>
      </c>
      <c r="P24">
        <v>1.0464</v>
      </c>
      <c r="Q24">
        <v>6.3125999999999998</v>
      </c>
      <c r="R24">
        <v>1.0522391238820143</v>
      </c>
      <c r="S24">
        <v>7.8871710000000004</v>
      </c>
      <c r="T24">
        <v>0.24263399999999999</v>
      </c>
    </row>
    <row r="25" spans="1:24">
      <c r="A25">
        <v>22</v>
      </c>
      <c r="B25">
        <v>660</v>
      </c>
      <c r="E25">
        <v>8.2562999999999995</v>
      </c>
      <c r="F25">
        <v>1</v>
      </c>
      <c r="H25">
        <v>49.67</v>
      </c>
      <c r="I25">
        <v>12.72</v>
      </c>
      <c r="J25">
        <v>1.0266</v>
      </c>
      <c r="K25">
        <v>5.2602000000000002</v>
      </c>
      <c r="L25">
        <v>1.0322388873826118</v>
      </c>
      <c r="N25">
        <v>48.24</v>
      </c>
      <c r="O25">
        <v>12.58</v>
      </c>
      <c r="P25">
        <v>1.0351999999999999</v>
      </c>
      <c r="Q25">
        <v>6.3125999999999998</v>
      </c>
      <c r="R25">
        <v>1.0409691244205177</v>
      </c>
      <c r="S25">
        <v>7.8872679999999997</v>
      </c>
      <c r="T25">
        <v>0.24260200000000001</v>
      </c>
    </row>
    <row r="26" spans="1:24">
      <c r="A26">
        <v>23</v>
      </c>
      <c r="B26">
        <v>690</v>
      </c>
      <c r="E26">
        <v>8.2562999999999995</v>
      </c>
      <c r="F26">
        <v>1</v>
      </c>
      <c r="H26">
        <v>49.47</v>
      </c>
      <c r="I26">
        <v>12.68</v>
      </c>
      <c r="J26">
        <v>1.0261</v>
      </c>
      <c r="K26">
        <v>5.2602000000000002</v>
      </c>
      <c r="L26">
        <v>1.0317474192119762</v>
      </c>
      <c r="N26">
        <v>48.34</v>
      </c>
      <c r="O26">
        <v>12.57</v>
      </c>
      <c r="P26">
        <v>1.0328999999999999</v>
      </c>
      <c r="Q26">
        <v>6.3125999999999998</v>
      </c>
      <c r="R26">
        <v>1.0386821231218328</v>
      </c>
      <c r="S26">
        <v>7.88544</v>
      </c>
      <c r="T26">
        <v>0.24318899999999999</v>
      </c>
    </row>
    <row r="27" spans="1:24">
      <c r="A27">
        <v>24</v>
      </c>
      <c r="B27">
        <v>720</v>
      </c>
      <c r="E27">
        <v>8.2562999999999995</v>
      </c>
      <c r="F27">
        <v>1</v>
      </c>
      <c r="H27">
        <v>49.37</v>
      </c>
      <c r="I27">
        <v>12.66</v>
      </c>
      <c r="J27">
        <v>1.0259</v>
      </c>
      <c r="K27">
        <v>5.2602000000000002</v>
      </c>
      <c r="L27">
        <v>1.0315006938637088</v>
      </c>
      <c r="N27">
        <v>49.16</v>
      </c>
      <c r="O27">
        <v>12.63</v>
      </c>
      <c r="P27">
        <v>1.0263</v>
      </c>
      <c r="Q27">
        <v>6.3125999999999998</v>
      </c>
      <c r="R27">
        <v>1.0319790858608853</v>
      </c>
      <c r="S27">
        <v>7.878558</v>
      </c>
      <c r="T27">
        <v>0.245397</v>
      </c>
    </row>
    <row r="29" spans="1:24">
      <c r="B29" t="s">
        <v>15</v>
      </c>
    </row>
    <row r="30" spans="1:24">
      <c r="C30" t="s">
        <v>1</v>
      </c>
      <c r="G30" t="s">
        <v>2</v>
      </c>
      <c r="M30" t="s">
        <v>3</v>
      </c>
    </row>
    <row r="31" spans="1:24">
      <c r="A31" t="s">
        <v>4</v>
      </c>
      <c r="B31" t="s">
        <v>5</v>
      </c>
      <c r="C31" t="s">
        <v>6</v>
      </c>
      <c r="D31" t="s">
        <v>7</v>
      </c>
      <c r="E31" t="s">
        <v>8</v>
      </c>
      <c r="F31" t="s">
        <v>9</v>
      </c>
      <c r="G31" t="s">
        <v>6</v>
      </c>
      <c r="H31" t="s">
        <v>7</v>
      </c>
      <c r="I31" t="s">
        <v>8</v>
      </c>
      <c r="J31" t="s">
        <v>10</v>
      </c>
      <c r="K31" t="s">
        <v>11</v>
      </c>
      <c r="L31" t="s">
        <v>12</v>
      </c>
      <c r="M31" t="s">
        <v>6</v>
      </c>
      <c r="N31" t="s">
        <v>7</v>
      </c>
      <c r="O31" t="s">
        <v>8</v>
      </c>
      <c r="P31" t="s">
        <v>10</v>
      </c>
      <c r="Q31" t="s">
        <v>11</v>
      </c>
      <c r="R31" t="s">
        <v>12</v>
      </c>
      <c r="S31" t="s">
        <v>13</v>
      </c>
      <c r="T31" t="s">
        <v>14</v>
      </c>
      <c r="W31" t="s">
        <v>16</v>
      </c>
    </row>
    <row r="32" spans="1:24">
      <c r="A32">
        <v>1</v>
      </c>
      <c r="B32">
        <v>30</v>
      </c>
      <c r="C32">
        <v>18.89</v>
      </c>
      <c r="D32">
        <v>47.93</v>
      </c>
      <c r="E32">
        <f>C32/(1+0.02*(D32-25))</f>
        <v>12.950774715480597</v>
      </c>
      <c r="F32">
        <f>(E32-$X$33)/$W$33</f>
        <v>1.2830888044793822</v>
      </c>
      <c r="H32">
        <v>51</v>
      </c>
      <c r="I32">
        <v>6.11</v>
      </c>
      <c r="J32">
        <v>0.47449999999999998</v>
      </c>
      <c r="K32">
        <v>0.5</v>
      </c>
      <c r="L32">
        <v>0.31115115433895935</v>
      </c>
      <c r="N32">
        <v>53.63</v>
      </c>
      <c r="O32">
        <v>5.74</v>
      </c>
      <c r="P32">
        <v>0.42909999999999998</v>
      </c>
      <c r="Q32">
        <v>0.5</v>
      </c>
      <c r="R32">
        <v>0.27091451195421601</v>
      </c>
      <c r="S32">
        <v>8.1013000000000002</v>
      </c>
      <c r="T32">
        <v>0.155</v>
      </c>
      <c r="W32" t="s">
        <v>17</v>
      </c>
      <c r="X32" t="s">
        <v>18</v>
      </c>
    </row>
    <row r="33" spans="1:24">
      <c r="A33">
        <v>2</v>
      </c>
      <c r="B33">
        <v>60</v>
      </c>
      <c r="C33">
        <v>18.89</v>
      </c>
      <c r="D33">
        <v>47.93</v>
      </c>
      <c r="E33">
        <f t="shared" ref="E33:E55" si="0">C33/(1+0.02*(D33-25))</f>
        <v>12.950774715480597</v>
      </c>
      <c r="F33">
        <f t="shared" ref="F33:F55" si="1">(E33-$X$33)/$W$33</f>
        <v>1.2830888044793822</v>
      </c>
      <c r="H33">
        <v>51.04</v>
      </c>
      <c r="I33">
        <v>7.04</v>
      </c>
      <c r="J33">
        <v>0.54930000000000001</v>
      </c>
      <c r="K33">
        <v>1</v>
      </c>
      <c r="L33">
        <v>0.37747092215054956</v>
      </c>
      <c r="N33">
        <v>52.64</v>
      </c>
      <c r="O33">
        <v>6.63</v>
      </c>
      <c r="P33">
        <v>0.50790000000000002</v>
      </c>
      <c r="Q33">
        <v>1</v>
      </c>
      <c r="R33">
        <v>0.33835457311971201</v>
      </c>
      <c r="S33">
        <v>8.0911530000000003</v>
      </c>
      <c r="T33">
        <v>0.13857800000000001</v>
      </c>
      <c r="W33">
        <v>9.1889000000000003</v>
      </c>
      <c r="X33">
        <v>1.1606000000000001</v>
      </c>
    </row>
    <row r="34" spans="1:24">
      <c r="A34">
        <v>3</v>
      </c>
      <c r="B34">
        <v>90</v>
      </c>
      <c r="C34">
        <v>18.97</v>
      </c>
      <c r="D34">
        <v>47.8</v>
      </c>
      <c r="E34">
        <f t="shared" si="0"/>
        <v>13.028846153846153</v>
      </c>
      <c r="F34">
        <f t="shared" si="1"/>
        <v>1.2915850813314056</v>
      </c>
      <c r="H34">
        <v>50.76</v>
      </c>
      <c r="I34">
        <v>8.1999999999999993</v>
      </c>
      <c r="J34">
        <v>0.64539999999999997</v>
      </c>
      <c r="K34">
        <v>1.5</v>
      </c>
      <c r="L34">
        <v>0.46264806685693716</v>
      </c>
      <c r="N34">
        <v>51.72</v>
      </c>
      <c r="O34">
        <v>7.68</v>
      </c>
      <c r="P34">
        <v>0.59830000000000005</v>
      </c>
      <c r="Q34">
        <v>1.5</v>
      </c>
      <c r="R34">
        <v>0.41839760627908146</v>
      </c>
      <c r="S34">
        <v>8.0911530000000003</v>
      </c>
      <c r="T34">
        <v>0.13857800000000001</v>
      </c>
    </row>
    <row r="35" spans="1:24">
      <c r="A35">
        <v>4</v>
      </c>
      <c r="B35">
        <v>120</v>
      </c>
      <c r="C35">
        <v>18.97</v>
      </c>
      <c r="D35">
        <v>47.8</v>
      </c>
      <c r="E35">
        <f t="shared" si="0"/>
        <v>13.028846153846153</v>
      </c>
      <c r="F35">
        <f t="shared" si="1"/>
        <v>1.2915850813314056</v>
      </c>
      <c r="H35">
        <v>49.77</v>
      </c>
      <c r="I35">
        <v>9.6999999999999993</v>
      </c>
      <c r="J35">
        <v>0.77729999999999999</v>
      </c>
      <c r="K35">
        <v>2</v>
      </c>
      <c r="L35">
        <v>0.5796078725701076</v>
      </c>
      <c r="N35">
        <v>50.9</v>
      </c>
      <c r="O35">
        <v>8.84</v>
      </c>
      <c r="P35">
        <v>0.69399999999999995</v>
      </c>
      <c r="Q35">
        <v>2</v>
      </c>
      <c r="R35">
        <v>0.50744397157531707</v>
      </c>
      <c r="S35">
        <v>8.1205079999999992</v>
      </c>
      <c r="T35">
        <v>0.157441</v>
      </c>
    </row>
    <row r="36" spans="1:24">
      <c r="A36">
        <v>5</v>
      </c>
      <c r="B36">
        <v>150</v>
      </c>
      <c r="C36">
        <v>18.97</v>
      </c>
      <c r="D36">
        <v>49.97</v>
      </c>
      <c r="E36">
        <f t="shared" si="0"/>
        <v>12.65172735760971</v>
      </c>
      <c r="F36">
        <f t="shared" si="1"/>
        <v>1.2505443913427841</v>
      </c>
      <c r="H36">
        <v>48.68</v>
      </c>
      <c r="I36">
        <v>10.87</v>
      </c>
      <c r="J36">
        <v>0.88649999999999995</v>
      </c>
      <c r="K36">
        <v>2.5</v>
      </c>
      <c r="L36">
        <v>0.67645669693367583</v>
      </c>
      <c r="N36">
        <v>49.84</v>
      </c>
      <c r="O36">
        <v>9.92</v>
      </c>
      <c r="P36">
        <v>0.78569999999999995</v>
      </c>
      <c r="Q36">
        <v>2.5</v>
      </c>
      <c r="R36">
        <v>0.59494302257495035</v>
      </c>
      <c r="S36">
        <v>8.1678840000000008</v>
      </c>
      <c r="T36">
        <v>0.17444999999999999</v>
      </c>
    </row>
    <row r="37" spans="1:24">
      <c r="A37">
        <v>6</v>
      </c>
      <c r="B37">
        <v>180</v>
      </c>
      <c r="C37">
        <v>18.97</v>
      </c>
      <c r="D37">
        <v>49.97</v>
      </c>
      <c r="E37">
        <f t="shared" si="0"/>
        <v>12.65172735760971</v>
      </c>
      <c r="F37">
        <f t="shared" si="1"/>
        <v>1.2505443913427841</v>
      </c>
      <c r="H37">
        <v>49.23</v>
      </c>
      <c r="I37">
        <v>12.23</v>
      </c>
      <c r="J37">
        <v>0.99229999999999996</v>
      </c>
      <c r="K37">
        <v>2.5579000000000001</v>
      </c>
      <c r="L37">
        <v>0.77020200471564793</v>
      </c>
      <c r="N37">
        <v>48.92</v>
      </c>
      <c r="O37">
        <v>11.03</v>
      </c>
      <c r="P37">
        <v>0.87839999999999996</v>
      </c>
      <c r="Q37">
        <v>3</v>
      </c>
      <c r="R37">
        <v>0.68562813810884837</v>
      </c>
      <c r="S37">
        <v>8.2366869999999999</v>
      </c>
      <c r="T37">
        <v>0.185109</v>
      </c>
    </row>
    <row r="38" spans="1:24">
      <c r="A38">
        <v>7</v>
      </c>
      <c r="B38">
        <v>210</v>
      </c>
      <c r="C38">
        <v>18.97</v>
      </c>
      <c r="D38">
        <v>47.93</v>
      </c>
      <c r="E38">
        <f t="shared" si="0"/>
        <v>13.00562182915124</v>
      </c>
      <c r="F38">
        <f t="shared" si="1"/>
        <v>1.289057648810112</v>
      </c>
      <c r="H38">
        <v>49.71</v>
      </c>
      <c r="I38">
        <v>12.23</v>
      </c>
      <c r="J38">
        <v>0.98580000000000001</v>
      </c>
      <c r="K38">
        <v>2.6989999999999998</v>
      </c>
      <c r="L38">
        <v>0.76444209101522864</v>
      </c>
      <c r="N38">
        <v>47.76</v>
      </c>
      <c r="O38">
        <v>12</v>
      </c>
      <c r="P38">
        <v>0.96430000000000005</v>
      </c>
      <c r="Q38">
        <v>3.2608999999999999</v>
      </c>
      <c r="R38">
        <v>0.7711139711906273</v>
      </c>
      <c r="S38">
        <v>8.3127840000000006</v>
      </c>
      <c r="T38">
        <v>0.185109</v>
      </c>
    </row>
    <row r="39" spans="1:24">
      <c r="A39">
        <v>8</v>
      </c>
      <c r="B39">
        <v>240</v>
      </c>
      <c r="C39">
        <v>18.97</v>
      </c>
      <c r="D39">
        <v>47.93</v>
      </c>
      <c r="E39">
        <f t="shared" si="0"/>
        <v>13.00562182915124</v>
      </c>
      <c r="F39">
        <f t="shared" si="1"/>
        <v>1.289057648810112</v>
      </c>
      <c r="H39">
        <v>48.58</v>
      </c>
      <c r="I39">
        <v>12.35</v>
      </c>
      <c r="J39">
        <v>1.0112000000000001</v>
      </c>
      <c r="K39" s="1">
        <v>2.7138</v>
      </c>
      <c r="L39">
        <v>0.78699584807864842</v>
      </c>
      <c r="N39">
        <v>46.95</v>
      </c>
      <c r="O39">
        <v>12.69</v>
      </c>
      <c r="P39">
        <v>1.0207999999999999</v>
      </c>
      <c r="Q39">
        <v>3.2608999999999999</v>
      </c>
      <c r="R39">
        <v>0.83339943241033521</v>
      </c>
      <c r="S39">
        <v>8.4101879999999998</v>
      </c>
      <c r="T39">
        <v>0.185109</v>
      </c>
    </row>
    <row r="40" spans="1:24">
      <c r="A40">
        <v>9</v>
      </c>
      <c r="B40">
        <v>270</v>
      </c>
      <c r="C40">
        <v>19</v>
      </c>
      <c r="D40">
        <v>47.19</v>
      </c>
      <c r="E40">
        <f t="shared" si="0"/>
        <v>13.159717412383987</v>
      </c>
      <c r="F40">
        <f t="shared" si="1"/>
        <v>1.3058274017982552</v>
      </c>
      <c r="H40">
        <v>48.45</v>
      </c>
      <c r="I40">
        <v>12.35</v>
      </c>
      <c r="J40">
        <v>1.0129999999999999</v>
      </c>
      <c r="K40" s="1">
        <v>2.7138</v>
      </c>
      <c r="L40">
        <v>0.78861230898341439</v>
      </c>
      <c r="N40">
        <v>46.88</v>
      </c>
      <c r="O40">
        <v>12.69</v>
      </c>
      <c r="P40">
        <v>1.0135000000000001</v>
      </c>
      <c r="Q40" s="1">
        <v>3.2608999999999999</v>
      </c>
      <c r="R40">
        <v>0.83433403563357844</v>
      </c>
      <c r="S40">
        <v>8.4786780000000004</v>
      </c>
      <c r="T40">
        <v>0.185109</v>
      </c>
    </row>
    <row r="41" spans="1:24">
      <c r="A41">
        <v>10</v>
      </c>
      <c r="B41">
        <v>300</v>
      </c>
      <c r="C41">
        <v>19</v>
      </c>
      <c r="D41">
        <v>47.19</v>
      </c>
      <c r="E41">
        <f t="shared" si="0"/>
        <v>13.159717412383987</v>
      </c>
      <c r="F41">
        <f t="shared" si="1"/>
        <v>1.3058274017982552</v>
      </c>
      <c r="H41">
        <v>48.31</v>
      </c>
      <c r="I41">
        <v>12.52</v>
      </c>
      <c r="J41">
        <v>1.0291999999999999</v>
      </c>
      <c r="K41">
        <v>2.7138</v>
      </c>
      <c r="L41">
        <v>0.80297757256688096</v>
      </c>
      <c r="N41">
        <v>46.81</v>
      </c>
      <c r="O41">
        <v>12.69</v>
      </c>
      <c r="P41">
        <v>1.0084</v>
      </c>
      <c r="Q41" s="1">
        <v>3.2608999999999999</v>
      </c>
      <c r="R41">
        <v>0.83527046094916602</v>
      </c>
      <c r="S41">
        <v>8.5298580000000008</v>
      </c>
      <c r="T41">
        <v>0.185109</v>
      </c>
    </row>
    <row r="42" spans="1:24">
      <c r="A42">
        <v>11</v>
      </c>
      <c r="B42">
        <v>330</v>
      </c>
      <c r="C42">
        <v>19</v>
      </c>
      <c r="D42">
        <v>47.08</v>
      </c>
      <c r="E42">
        <f t="shared" si="0"/>
        <v>13.179800221975583</v>
      </c>
      <c r="F42">
        <f t="shared" si="1"/>
        <v>1.3080129527990927</v>
      </c>
      <c r="H42">
        <v>48.14</v>
      </c>
      <c r="I42">
        <v>12.54</v>
      </c>
      <c r="J42">
        <v>1.0333000000000001</v>
      </c>
      <c r="K42">
        <v>2.7138</v>
      </c>
      <c r="L42">
        <v>0.80662543854070956</v>
      </c>
      <c r="R42">
        <v>0.83527046094916602</v>
      </c>
    </row>
    <row r="43" spans="1:24">
      <c r="A43">
        <v>12</v>
      </c>
      <c r="B43">
        <v>360</v>
      </c>
      <c r="C43">
        <v>19</v>
      </c>
      <c r="D43">
        <v>47.08</v>
      </c>
      <c r="E43">
        <f t="shared" si="0"/>
        <v>13.179800221975583</v>
      </c>
      <c r="F43">
        <f t="shared" si="1"/>
        <v>1.3080129527990927</v>
      </c>
      <c r="H43">
        <v>47.97</v>
      </c>
      <c r="I43">
        <v>12.58</v>
      </c>
      <c r="J43">
        <v>1.0390999999999999</v>
      </c>
      <c r="K43">
        <v>2.7138</v>
      </c>
      <c r="L43">
        <v>0.81178169465694083</v>
      </c>
      <c r="R43">
        <v>0.83527046094916602</v>
      </c>
    </row>
    <row r="44" spans="1:24">
      <c r="A44">
        <v>13</v>
      </c>
      <c r="B44">
        <v>390</v>
      </c>
      <c r="C44">
        <v>19.23</v>
      </c>
      <c r="D44">
        <v>47.15</v>
      </c>
      <c r="E44">
        <f t="shared" si="0"/>
        <v>13.326403326403327</v>
      </c>
      <c r="F44">
        <f t="shared" si="1"/>
        <v>1.3239673221390291</v>
      </c>
      <c r="H44">
        <v>47.8</v>
      </c>
      <c r="I44">
        <v>12.58</v>
      </c>
      <c r="J44">
        <v>1.0415000000000001</v>
      </c>
      <c r="K44">
        <v>2.7138</v>
      </c>
      <c r="L44">
        <v>0.81397228069843941</v>
      </c>
      <c r="R44">
        <v>0.83527046094916602</v>
      </c>
    </row>
    <row r="45" spans="1:24">
      <c r="A45">
        <v>14</v>
      </c>
      <c r="B45">
        <v>420</v>
      </c>
      <c r="C45">
        <v>19.23</v>
      </c>
      <c r="D45">
        <v>47.15</v>
      </c>
      <c r="E45">
        <f t="shared" si="0"/>
        <v>13.326403326403327</v>
      </c>
      <c r="F45">
        <f t="shared" si="1"/>
        <v>1.3239673221390291</v>
      </c>
      <c r="H45">
        <v>47.8</v>
      </c>
      <c r="I45">
        <v>12.59</v>
      </c>
      <c r="J45">
        <v>1.0424</v>
      </c>
      <c r="K45">
        <v>2.7138</v>
      </c>
      <c r="L45">
        <v>0.81471971857110437</v>
      </c>
      <c r="R45">
        <v>0.83527046094916602</v>
      </c>
    </row>
    <row r="46" spans="1:24">
      <c r="A46">
        <v>15</v>
      </c>
      <c r="B46">
        <v>450</v>
      </c>
      <c r="C46">
        <v>19.54</v>
      </c>
      <c r="D46">
        <v>48.06</v>
      </c>
      <c r="E46">
        <f t="shared" si="0"/>
        <v>13.372570490008211</v>
      </c>
      <c r="F46">
        <f t="shared" si="1"/>
        <v>1.3289915539409733</v>
      </c>
      <c r="H46">
        <v>47.97</v>
      </c>
      <c r="I46">
        <v>12.64</v>
      </c>
      <c r="J46">
        <v>1.0441</v>
      </c>
      <c r="K46">
        <v>2.7138</v>
      </c>
      <c r="L46">
        <v>0.81625587394678722</v>
      </c>
      <c r="R46">
        <v>0.83527046094916602</v>
      </c>
    </row>
    <row r="47" spans="1:24">
      <c r="A47">
        <v>16</v>
      </c>
      <c r="B47">
        <v>480</v>
      </c>
      <c r="C47">
        <v>19.54</v>
      </c>
      <c r="D47">
        <v>48.06</v>
      </c>
      <c r="E47">
        <f t="shared" si="0"/>
        <v>13.372570490008211</v>
      </c>
      <c r="F47">
        <f t="shared" si="1"/>
        <v>1.3289915539409733</v>
      </c>
      <c r="H47">
        <v>47.97</v>
      </c>
      <c r="I47">
        <v>12.64</v>
      </c>
      <c r="J47">
        <v>1.0441</v>
      </c>
      <c r="K47">
        <v>2.7138</v>
      </c>
      <c r="L47">
        <v>0.81625587394678722</v>
      </c>
      <c r="R47">
        <v>0.83527046094916602</v>
      </c>
    </row>
    <row r="48" spans="1:24">
      <c r="A48">
        <v>17</v>
      </c>
      <c r="B48">
        <v>510</v>
      </c>
      <c r="C48">
        <v>19.55</v>
      </c>
      <c r="D48">
        <v>49.67</v>
      </c>
      <c r="E48">
        <f t="shared" si="0"/>
        <v>13.090933440471407</v>
      </c>
      <c r="F48">
        <f t="shared" si="1"/>
        <v>1.2983418516331013</v>
      </c>
      <c r="H48">
        <v>48.41</v>
      </c>
      <c r="I48">
        <v>12.72</v>
      </c>
      <c r="J48">
        <v>1.0441</v>
      </c>
      <c r="K48">
        <v>2.7138</v>
      </c>
      <c r="L48">
        <v>0.81653623390773677</v>
      </c>
      <c r="R48">
        <v>0.83527046094916602</v>
      </c>
    </row>
    <row r="49" spans="1:24">
      <c r="A49">
        <v>18</v>
      </c>
      <c r="B49">
        <v>540</v>
      </c>
      <c r="C49">
        <v>19.55</v>
      </c>
      <c r="D49">
        <v>49.67</v>
      </c>
      <c r="E49">
        <f t="shared" si="0"/>
        <v>13.090933440471407</v>
      </c>
      <c r="F49">
        <f t="shared" si="1"/>
        <v>1.2983418516331013</v>
      </c>
      <c r="H49">
        <v>48.65</v>
      </c>
      <c r="I49">
        <v>12.73</v>
      </c>
      <c r="J49">
        <v>1.0419</v>
      </c>
      <c r="K49">
        <v>2.7138</v>
      </c>
      <c r="L49">
        <v>0.81420265190970209</v>
      </c>
      <c r="R49">
        <v>0.83527046094916602</v>
      </c>
    </row>
    <row r="50" spans="1:24">
      <c r="A50">
        <v>19</v>
      </c>
      <c r="B50">
        <v>570</v>
      </c>
      <c r="C50">
        <v>19.559999999999999</v>
      </c>
      <c r="D50">
        <v>50.77</v>
      </c>
      <c r="E50">
        <f t="shared" si="0"/>
        <v>12.907483172759665</v>
      </c>
      <c r="F50">
        <f t="shared" si="1"/>
        <v>1.2783775177398453</v>
      </c>
      <c r="H50">
        <v>48.85</v>
      </c>
      <c r="I50">
        <v>12.74</v>
      </c>
      <c r="J50">
        <v>1.0398000000000001</v>
      </c>
      <c r="K50">
        <v>2.7138</v>
      </c>
      <c r="L50">
        <v>0.81239238832304306</v>
      </c>
      <c r="R50">
        <v>0.83527046094916602</v>
      </c>
    </row>
    <row r="51" spans="1:24">
      <c r="A51">
        <v>20</v>
      </c>
      <c r="B51">
        <v>600</v>
      </c>
      <c r="C51">
        <v>19.559999999999999</v>
      </c>
      <c r="D51">
        <v>50.77</v>
      </c>
      <c r="E51">
        <f t="shared" si="0"/>
        <v>12.907483172759665</v>
      </c>
      <c r="F51">
        <f t="shared" si="1"/>
        <v>1.2783775177398453</v>
      </c>
      <c r="H51">
        <v>49.23</v>
      </c>
      <c r="I51">
        <v>12.72</v>
      </c>
      <c r="J51">
        <v>1.0327999999999999</v>
      </c>
      <c r="K51">
        <v>2.7138</v>
      </c>
      <c r="L51">
        <v>0.80612091054039214</v>
      </c>
      <c r="R51">
        <v>0.83527046094916602</v>
      </c>
    </row>
    <row r="52" spans="1:24">
      <c r="A52">
        <v>21</v>
      </c>
      <c r="B52">
        <v>630</v>
      </c>
      <c r="C52">
        <v>19.47</v>
      </c>
      <c r="D52">
        <v>51.07</v>
      </c>
      <c r="E52">
        <f t="shared" si="0"/>
        <v>12.797423425792035</v>
      </c>
      <c r="F52">
        <f t="shared" si="1"/>
        <v>1.2664000506907283</v>
      </c>
      <c r="H52">
        <v>49.3</v>
      </c>
      <c r="I52">
        <v>12.7</v>
      </c>
      <c r="J52">
        <v>1.0302</v>
      </c>
      <c r="K52">
        <v>2.7138</v>
      </c>
      <c r="L52">
        <v>0.80377775122120165</v>
      </c>
      <c r="R52">
        <v>0.83527046094916602</v>
      </c>
    </row>
    <row r="53" spans="1:24">
      <c r="A53">
        <v>22</v>
      </c>
      <c r="B53">
        <v>660</v>
      </c>
      <c r="C53">
        <v>19.47</v>
      </c>
      <c r="D53">
        <v>51.07</v>
      </c>
      <c r="E53">
        <f t="shared" si="0"/>
        <v>12.797423425792035</v>
      </c>
      <c r="F53">
        <f t="shared" si="1"/>
        <v>1.2664000506907283</v>
      </c>
      <c r="H53">
        <v>49.26</v>
      </c>
      <c r="I53">
        <v>12.74</v>
      </c>
      <c r="J53">
        <v>1.034</v>
      </c>
      <c r="K53">
        <v>2.7138</v>
      </c>
      <c r="L53">
        <v>0.80720970922138324</v>
      </c>
      <c r="R53">
        <v>0.83527046094916602</v>
      </c>
    </row>
    <row r="54" spans="1:24">
      <c r="A54">
        <v>23</v>
      </c>
      <c r="B54">
        <v>690</v>
      </c>
      <c r="C54">
        <v>19.52</v>
      </c>
      <c r="D54">
        <v>51.3</v>
      </c>
      <c r="E54">
        <f t="shared" si="0"/>
        <v>12.791612057667106</v>
      </c>
      <c r="F54">
        <f t="shared" si="1"/>
        <v>1.2657676171976084</v>
      </c>
      <c r="H54">
        <v>49.23</v>
      </c>
      <c r="I54">
        <v>12.74</v>
      </c>
      <c r="J54">
        <v>1.0345</v>
      </c>
      <c r="K54">
        <v>2.7138</v>
      </c>
      <c r="L54">
        <v>0.80758698832915721</v>
      </c>
      <c r="R54">
        <v>0.83527046094916602</v>
      </c>
    </row>
    <row r="55" spans="1:24">
      <c r="A55">
        <v>24</v>
      </c>
      <c r="B55">
        <v>720</v>
      </c>
      <c r="C55">
        <v>19.52</v>
      </c>
      <c r="D55">
        <v>51.3</v>
      </c>
      <c r="E55">
        <f t="shared" si="0"/>
        <v>12.791612057667106</v>
      </c>
      <c r="F55">
        <f t="shared" si="1"/>
        <v>1.2657676171976084</v>
      </c>
      <c r="H55">
        <v>49.02</v>
      </c>
      <c r="I55">
        <v>12.74</v>
      </c>
      <c r="J55">
        <v>1.0374000000000001</v>
      </c>
      <c r="K55">
        <v>2.7138</v>
      </c>
      <c r="L55">
        <v>0.81023650502468691</v>
      </c>
      <c r="R55">
        <v>0.83527046094916602</v>
      </c>
    </row>
    <row r="57" spans="1:24">
      <c r="B57" t="s">
        <v>19</v>
      </c>
    </row>
    <row r="58" spans="1:24">
      <c r="C58" t="s">
        <v>1</v>
      </c>
      <c r="G58" t="s">
        <v>2</v>
      </c>
      <c r="M58" t="s">
        <v>3</v>
      </c>
    </row>
    <row r="59" spans="1:24">
      <c r="A59" t="s">
        <v>4</v>
      </c>
      <c r="B59" t="s">
        <v>5</v>
      </c>
      <c r="C59" t="s">
        <v>6</v>
      </c>
      <c r="D59" t="s">
        <v>7</v>
      </c>
      <c r="E59" t="s">
        <v>8</v>
      </c>
      <c r="F59" t="s">
        <v>9</v>
      </c>
      <c r="G59" t="s">
        <v>6</v>
      </c>
      <c r="H59" t="s">
        <v>7</v>
      </c>
      <c r="I59" t="s">
        <v>8</v>
      </c>
      <c r="J59" t="s">
        <v>10</v>
      </c>
      <c r="K59" t="s">
        <v>11</v>
      </c>
      <c r="L59" t="s">
        <v>12</v>
      </c>
      <c r="M59" t="s">
        <v>6</v>
      </c>
      <c r="N59" t="s">
        <v>7</v>
      </c>
      <c r="O59" t="s">
        <v>8</v>
      </c>
      <c r="P59" t="s">
        <v>10</v>
      </c>
      <c r="Q59" t="s">
        <v>11</v>
      </c>
      <c r="R59" t="s">
        <v>12</v>
      </c>
      <c r="S59" t="s">
        <v>13</v>
      </c>
      <c r="T59" t="s">
        <v>14</v>
      </c>
      <c r="W59" t="s">
        <v>20</v>
      </c>
    </row>
    <row r="60" spans="1:24">
      <c r="A60">
        <v>1</v>
      </c>
      <c r="B60">
        <v>30</v>
      </c>
      <c r="C60">
        <v>21.7</v>
      </c>
      <c r="D60">
        <v>48.83</v>
      </c>
      <c r="E60">
        <f>C60/(1+0.02*(D60-25))</f>
        <v>14.695923066504131</v>
      </c>
      <c r="F60">
        <f>(E60-$X$61)/$W$61</f>
        <v>1.600138598917997</v>
      </c>
      <c r="H60">
        <v>47.29</v>
      </c>
      <c r="I60">
        <v>7.63</v>
      </c>
      <c r="J60">
        <v>0.62870000000000004</v>
      </c>
      <c r="K60">
        <v>0.5</v>
      </c>
      <c r="L60">
        <v>0.4967320490544479</v>
      </c>
      <c r="N60">
        <v>46.98</v>
      </c>
      <c r="O60">
        <v>6.62</v>
      </c>
      <c r="P60">
        <v>0.5454</v>
      </c>
      <c r="Q60">
        <v>0.5</v>
      </c>
      <c r="R60">
        <v>0.41720258944195232</v>
      </c>
      <c r="S60">
        <v>8.1013000000000002</v>
      </c>
      <c r="T60">
        <v>0.155</v>
      </c>
      <c r="W60" s="2" t="s">
        <v>21</v>
      </c>
      <c r="X60" s="2" t="s">
        <v>22</v>
      </c>
    </row>
    <row r="61" spans="1:24">
      <c r="A61">
        <v>2</v>
      </c>
      <c r="B61">
        <v>60</v>
      </c>
      <c r="C61">
        <v>21.7</v>
      </c>
      <c r="D61">
        <v>48.83</v>
      </c>
      <c r="E61">
        <f t="shared" ref="E61:E83" si="2">C61/(1+0.02*(D61-25))</f>
        <v>14.695923066504131</v>
      </c>
      <c r="F61">
        <f t="shared" ref="F61:F83" si="3">(E61-$X$61)/$W$61</f>
        <v>1.600138598917997</v>
      </c>
      <c r="H61">
        <v>46.78</v>
      </c>
      <c r="I61">
        <v>8.86</v>
      </c>
      <c r="J61">
        <v>0.73850000000000005</v>
      </c>
      <c r="K61">
        <v>1</v>
      </c>
      <c r="L61">
        <v>0.60149902799691324</v>
      </c>
      <c r="N61">
        <v>48.72</v>
      </c>
      <c r="O61">
        <v>7.44</v>
      </c>
      <c r="P61">
        <v>0.61099999999999999</v>
      </c>
      <c r="Q61">
        <v>1</v>
      </c>
      <c r="R61">
        <v>0.46964238753718085</v>
      </c>
      <c r="S61">
        <v>8.0571680000000008</v>
      </c>
      <c r="T61">
        <v>9.5835000000000004E-2</v>
      </c>
      <c r="W61" s="2">
        <v>8.5358999999999998</v>
      </c>
      <c r="X61" s="2">
        <v>1.0373000000000001</v>
      </c>
    </row>
    <row r="62" spans="1:24">
      <c r="A62">
        <v>3</v>
      </c>
      <c r="B62">
        <v>90</v>
      </c>
      <c r="C62">
        <v>21.6</v>
      </c>
      <c r="D62">
        <v>47.76</v>
      </c>
      <c r="E62">
        <f t="shared" si="2"/>
        <v>14.843320505772402</v>
      </c>
      <c r="F62">
        <f t="shared" si="3"/>
        <v>1.6174065424586046</v>
      </c>
      <c r="H62">
        <v>46.27</v>
      </c>
      <c r="I62">
        <v>10.59</v>
      </c>
      <c r="J62">
        <v>0.89280000000000004</v>
      </c>
      <c r="K62">
        <v>1.5</v>
      </c>
      <c r="L62">
        <v>0.74885992988620353</v>
      </c>
      <c r="N62">
        <v>48.65</v>
      </c>
      <c r="O62">
        <v>8.5399999999999991</v>
      </c>
      <c r="P62">
        <v>0.70620000000000005</v>
      </c>
      <c r="Q62">
        <v>1.5</v>
      </c>
      <c r="R62">
        <v>0.55769066946330503</v>
      </c>
      <c r="S62">
        <v>8.0449909999999996</v>
      </c>
      <c r="T62">
        <v>8.4991999999999998E-2</v>
      </c>
    </row>
    <row r="63" spans="1:24">
      <c r="A63">
        <v>4</v>
      </c>
      <c r="B63">
        <v>120</v>
      </c>
      <c r="C63">
        <v>21.6</v>
      </c>
      <c r="D63">
        <v>47.76</v>
      </c>
      <c r="E63">
        <f t="shared" si="2"/>
        <v>14.843320505772402</v>
      </c>
      <c r="F63">
        <f t="shared" si="3"/>
        <v>1.6174065424586046</v>
      </c>
      <c r="H63">
        <v>44.94</v>
      </c>
      <c r="I63">
        <v>12.24</v>
      </c>
      <c r="J63">
        <v>1.0548</v>
      </c>
      <c r="K63">
        <v>1.5</v>
      </c>
      <c r="L63">
        <v>0.90360213325392835</v>
      </c>
      <c r="N63">
        <v>48.17</v>
      </c>
      <c r="O63">
        <v>9.69</v>
      </c>
      <c r="P63">
        <v>0.80489999999999995</v>
      </c>
      <c r="Q63">
        <v>2</v>
      </c>
      <c r="R63">
        <v>0.65420942321983111</v>
      </c>
      <c r="S63">
        <v>8.0639350000000007</v>
      </c>
      <c r="T63">
        <v>9.5222000000000001E-2</v>
      </c>
    </row>
    <row r="64" spans="1:24">
      <c r="A64">
        <v>5</v>
      </c>
      <c r="B64">
        <v>150</v>
      </c>
      <c r="C64">
        <v>21.7</v>
      </c>
      <c r="D64">
        <v>47.79</v>
      </c>
      <c r="E64">
        <f t="shared" si="2"/>
        <v>14.90589366671246</v>
      </c>
      <c r="F64">
        <f t="shared" si="3"/>
        <v>1.6247371298530278</v>
      </c>
      <c r="H64">
        <v>44.33</v>
      </c>
      <c r="I64">
        <v>12.31</v>
      </c>
      <c r="J64">
        <v>1.0704</v>
      </c>
      <c r="K64">
        <v>1.5</v>
      </c>
      <c r="L64">
        <v>0.91853590891831138</v>
      </c>
      <c r="N64">
        <v>47.39</v>
      </c>
      <c r="O64">
        <v>10.93</v>
      </c>
      <c r="P64">
        <v>0.91</v>
      </c>
      <c r="Q64">
        <v>2.5</v>
      </c>
      <c r="R64">
        <v>0.76290552539382439</v>
      </c>
      <c r="S64">
        <v>8.1264730000000007</v>
      </c>
      <c r="T64">
        <v>0.112613</v>
      </c>
    </row>
    <row r="65" spans="1:20">
      <c r="A65">
        <v>6</v>
      </c>
      <c r="B65">
        <v>180</v>
      </c>
      <c r="C65">
        <v>21.7</v>
      </c>
      <c r="D65">
        <v>47.79</v>
      </c>
      <c r="E65">
        <f t="shared" si="2"/>
        <v>14.90589366671246</v>
      </c>
      <c r="F65">
        <f t="shared" si="3"/>
        <v>1.6247371298530278</v>
      </c>
      <c r="H65">
        <v>45.62</v>
      </c>
      <c r="I65">
        <v>12.45</v>
      </c>
      <c r="J65">
        <v>1.0628</v>
      </c>
      <c r="K65">
        <v>1.5</v>
      </c>
      <c r="L65">
        <v>0.91114977301674449</v>
      </c>
      <c r="N65">
        <v>47.05</v>
      </c>
      <c r="O65">
        <v>11.39</v>
      </c>
      <c r="P65">
        <v>0.95499999999999996</v>
      </c>
      <c r="Q65" s="1">
        <v>2.8367</v>
      </c>
      <c r="R65">
        <v>0.80447675949914421</v>
      </c>
      <c r="S65">
        <v>8.1127470000000006</v>
      </c>
      <c r="T65">
        <v>0.112613</v>
      </c>
    </row>
    <row r="66" spans="1:20">
      <c r="A66">
        <v>7</v>
      </c>
      <c r="B66">
        <v>210</v>
      </c>
      <c r="C66">
        <v>21.6</v>
      </c>
      <c r="D66">
        <v>48.99</v>
      </c>
      <c r="E66">
        <f t="shared" si="2"/>
        <v>14.596567103662657</v>
      </c>
      <c r="F66">
        <f t="shared" si="3"/>
        <v>1.5884988230488475</v>
      </c>
      <c r="H66">
        <v>48.07</v>
      </c>
      <c r="I66">
        <v>12.08</v>
      </c>
      <c r="J66">
        <v>0.99560000000000004</v>
      </c>
      <c r="K66" s="1">
        <v>1.5326</v>
      </c>
      <c r="L66">
        <v>0.84686398118696593</v>
      </c>
      <c r="N66">
        <v>46.67</v>
      </c>
      <c r="O66">
        <v>13.02</v>
      </c>
      <c r="P66">
        <v>1.0829</v>
      </c>
      <c r="Q66" s="1">
        <v>2.8367</v>
      </c>
      <c r="R66">
        <v>0.94260692501491661</v>
      </c>
      <c r="S66">
        <v>8.2370570000000001</v>
      </c>
      <c r="T66">
        <v>0.112613</v>
      </c>
    </row>
    <row r="67" spans="1:20">
      <c r="A67">
        <v>8</v>
      </c>
      <c r="B67">
        <v>240</v>
      </c>
      <c r="C67">
        <v>21.6</v>
      </c>
      <c r="D67">
        <v>48.99</v>
      </c>
      <c r="E67">
        <f t="shared" si="2"/>
        <v>14.596567103662657</v>
      </c>
      <c r="F67">
        <f t="shared" si="3"/>
        <v>1.5884988230488475</v>
      </c>
      <c r="H67">
        <v>48.17</v>
      </c>
      <c r="I67">
        <v>12.34</v>
      </c>
      <c r="J67">
        <v>1.0161</v>
      </c>
      <c r="K67" s="1">
        <v>1.5326</v>
      </c>
      <c r="L67">
        <v>0.86635476721961469</v>
      </c>
      <c r="N67">
        <v>46.47</v>
      </c>
      <c r="O67">
        <v>13.04</v>
      </c>
      <c r="P67">
        <v>1.0758000000000001</v>
      </c>
      <c r="Q67">
        <v>2.8367</v>
      </c>
      <c r="R67">
        <v>0.94722393993360388</v>
      </c>
      <c r="S67">
        <v>8.3279569999999996</v>
      </c>
      <c r="T67">
        <v>0.112613</v>
      </c>
    </row>
    <row r="68" spans="1:20">
      <c r="A68">
        <v>9</v>
      </c>
      <c r="B68">
        <v>270</v>
      </c>
      <c r="C68">
        <v>21.5</v>
      </c>
      <c r="D68">
        <v>49.5</v>
      </c>
      <c r="E68">
        <f t="shared" si="2"/>
        <v>14.429530201342281</v>
      </c>
      <c r="F68">
        <f t="shared" si="3"/>
        <v>1.5689300719715884</v>
      </c>
      <c r="H68">
        <v>48.07</v>
      </c>
      <c r="I68">
        <v>12.34</v>
      </c>
      <c r="J68">
        <v>1.0175000000000001</v>
      </c>
      <c r="K68">
        <v>1.5326</v>
      </c>
      <c r="L68">
        <v>0.86770672672340254</v>
      </c>
      <c r="N68">
        <v>46.4</v>
      </c>
      <c r="O68">
        <v>13.04</v>
      </c>
      <c r="P68">
        <v>1.0683</v>
      </c>
      <c r="Q68">
        <v>2.8367</v>
      </c>
      <c r="R68">
        <v>0.94827173011216459</v>
      </c>
      <c r="S68">
        <v>8.3950390000000006</v>
      </c>
      <c r="T68">
        <v>0.112613</v>
      </c>
    </row>
    <row r="69" spans="1:20">
      <c r="A69">
        <v>10</v>
      </c>
      <c r="B69">
        <v>300</v>
      </c>
      <c r="C69">
        <v>21.5</v>
      </c>
      <c r="D69">
        <v>49.5</v>
      </c>
      <c r="E69">
        <f t="shared" si="2"/>
        <v>14.429530201342281</v>
      </c>
      <c r="F69">
        <f t="shared" si="3"/>
        <v>1.5689300719715884</v>
      </c>
      <c r="H69">
        <v>48.04</v>
      </c>
      <c r="I69">
        <v>12.37</v>
      </c>
      <c r="J69">
        <v>1.0204</v>
      </c>
      <c r="K69">
        <v>1.5326</v>
      </c>
      <c r="L69">
        <v>0.87051895642304089</v>
      </c>
      <c r="N69">
        <v>46.4</v>
      </c>
      <c r="O69">
        <v>13</v>
      </c>
      <c r="P69">
        <v>1.0589999999999999</v>
      </c>
      <c r="Q69">
        <v>2.8367</v>
      </c>
      <c r="R69">
        <v>0.94499015412348231</v>
      </c>
      <c r="S69">
        <v>8.4424919999999997</v>
      </c>
      <c r="T69">
        <v>0.112613</v>
      </c>
    </row>
    <row r="70" spans="1:20">
      <c r="A70">
        <v>11</v>
      </c>
      <c r="B70">
        <v>330</v>
      </c>
      <c r="C70">
        <v>21.5</v>
      </c>
      <c r="D70">
        <v>49.54</v>
      </c>
      <c r="E70">
        <f t="shared" si="2"/>
        <v>14.421786960021464</v>
      </c>
      <c r="F70">
        <f t="shared" si="3"/>
        <v>1.5680229337294795</v>
      </c>
      <c r="H70">
        <v>47.97</v>
      </c>
      <c r="I70">
        <v>12.37</v>
      </c>
      <c r="J70">
        <v>1.0214000000000001</v>
      </c>
      <c r="K70">
        <v>1.5326</v>
      </c>
      <c r="L70">
        <v>0.87147061970800022</v>
      </c>
      <c r="N70">
        <v>46.37</v>
      </c>
      <c r="O70">
        <v>13.07</v>
      </c>
      <c r="P70">
        <v>1.0598000000000001</v>
      </c>
      <c r="Q70">
        <v>2.8367</v>
      </c>
      <c r="R70">
        <v>0.95118362877215124</v>
      </c>
      <c r="S70">
        <v>8.4853369999999995</v>
      </c>
      <c r="T70">
        <v>0.112613</v>
      </c>
    </row>
    <row r="71" spans="1:20">
      <c r="A71">
        <v>12</v>
      </c>
      <c r="B71">
        <v>360</v>
      </c>
      <c r="C71">
        <v>21.5</v>
      </c>
      <c r="D71">
        <v>49.54</v>
      </c>
      <c r="E71">
        <f t="shared" si="2"/>
        <v>14.421786960021464</v>
      </c>
      <c r="F71">
        <f t="shared" si="3"/>
        <v>1.5680229337294795</v>
      </c>
      <c r="H71">
        <v>47.87</v>
      </c>
      <c r="I71">
        <v>12.37</v>
      </c>
      <c r="J71">
        <v>1.0227999999999999</v>
      </c>
      <c r="K71">
        <v>1.5326</v>
      </c>
      <c r="L71">
        <v>0.87283331033776046</v>
      </c>
      <c r="N71">
        <v>46.33</v>
      </c>
      <c r="O71">
        <v>13.08</v>
      </c>
      <c r="P71">
        <v>1.0568</v>
      </c>
      <c r="Q71">
        <v>2.8367</v>
      </c>
      <c r="R71">
        <v>0.95260637317474195</v>
      </c>
      <c r="S71">
        <v>8.5209720000000004</v>
      </c>
      <c r="T71">
        <v>0.112613</v>
      </c>
    </row>
    <row r="72" spans="1:20">
      <c r="A72">
        <v>13</v>
      </c>
      <c r="B72">
        <v>390</v>
      </c>
      <c r="C72">
        <v>21.5</v>
      </c>
      <c r="D72">
        <v>49.4</v>
      </c>
      <c r="E72">
        <f t="shared" si="2"/>
        <v>14.448924731182796</v>
      </c>
      <c r="F72">
        <f t="shared" si="3"/>
        <v>1.5712021850282685</v>
      </c>
      <c r="H72">
        <v>47.73</v>
      </c>
      <c r="I72">
        <v>12.37</v>
      </c>
      <c r="J72">
        <v>1.0247999999999999</v>
      </c>
      <c r="K72">
        <v>1.5326</v>
      </c>
      <c r="L72">
        <v>0.87474737261405711</v>
      </c>
      <c r="N72">
        <v>46.78</v>
      </c>
      <c r="O72">
        <v>13.1</v>
      </c>
      <c r="P72">
        <v>1.0486</v>
      </c>
      <c r="Q72">
        <v>2.8367</v>
      </c>
      <c r="R72">
        <v>0.94750459657789199</v>
      </c>
      <c r="S72">
        <v>8.5464249999999993</v>
      </c>
      <c r="T72">
        <v>0.112613</v>
      </c>
    </row>
    <row r="73" spans="1:20">
      <c r="A73">
        <v>14</v>
      </c>
      <c r="B73">
        <v>420</v>
      </c>
      <c r="C73">
        <v>21.5</v>
      </c>
      <c r="D73">
        <v>49.4</v>
      </c>
      <c r="E73">
        <f t="shared" si="2"/>
        <v>14.448924731182796</v>
      </c>
      <c r="F73">
        <f t="shared" si="3"/>
        <v>1.5712021850282685</v>
      </c>
      <c r="H73">
        <v>47.66</v>
      </c>
      <c r="I73">
        <v>12.38</v>
      </c>
      <c r="J73">
        <v>1.0266999999999999</v>
      </c>
      <c r="K73">
        <v>1.5326</v>
      </c>
      <c r="L73">
        <v>0.87651333724982416</v>
      </c>
      <c r="N73">
        <v>47.08</v>
      </c>
      <c r="O73">
        <v>13.1</v>
      </c>
      <c r="P73">
        <v>1.042</v>
      </c>
      <c r="Q73">
        <v>2.8367</v>
      </c>
      <c r="R73">
        <v>0.9430552626207217</v>
      </c>
      <c r="S73">
        <v>8.5646339999999999</v>
      </c>
      <c r="T73">
        <v>0.112613</v>
      </c>
    </row>
    <row r="74" spans="1:20">
      <c r="A74">
        <v>15</v>
      </c>
      <c r="B74">
        <v>450</v>
      </c>
      <c r="C74">
        <v>21.5</v>
      </c>
      <c r="D74">
        <v>49.33</v>
      </c>
      <c r="E74">
        <f t="shared" si="2"/>
        <v>14.462531952105476</v>
      </c>
      <c r="F74">
        <f t="shared" si="3"/>
        <v>1.5727963017497248</v>
      </c>
      <c r="H74">
        <v>47.56</v>
      </c>
      <c r="I74">
        <v>12.4</v>
      </c>
      <c r="J74">
        <v>1.0298</v>
      </c>
      <c r="K74">
        <v>1.5326</v>
      </c>
      <c r="L74">
        <v>0.87950335655441025</v>
      </c>
      <c r="N74">
        <v>47.46</v>
      </c>
      <c r="O74">
        <v>13.1</v>
      </c>
      <c r="P74">
        <v>1.0350999999999999</v>
      </c>
      <c r="Q74">
        <v>2.8367</v>
      </c>
      <c r="R74">
        <v>0.93747232892169863</v>
      </c>
      <c r="S74">
        <v>8.5765170000000008</v>
      </c>
      <c r="T74">
        <v>0.112613</v>
      </c>
    </row>
    <row r="75" spans="1:20">
      <c r="A75">
        <v>16</v>
      </c>
      <c r="B75">
        <v>480</v>
      </c>
      <c r="C75">
        <v>21.5</v>
      </c>
      <c r="D75">
        <v>49.33</v>
      </c>
      <c r="E75">
        <f t="shared" si="2"/>
        <v>14.462531952105476</v>
      </c>
      <c r="F75">
        <f t="shared" si="3"/>
        <v>1.5727963017497248</v>
      </c>
      <c r="H75">
        <v>47.49</v>
      </c>
      <c r="I75">
        <v>12.36</v>
      </c>
      <c r="J75">
        <v>1.0274000000000001</v>
      </c>
      <c r="K75">
        <v>1.5326</v>
      </c>
      <c r="L75">
        <v>0.87723776478065874</v>
      </c>
      <c r="N75">
        <v>47.56</v>
      </c>
      <c r="O75">
        <v>13.1</v>
      </c>
      <c r="P75">
        <v>1.0336000000000001</v>
      </c>
      <c r="Q75">
        <v>2.8367</v>
      </c>
      <c r="R75">
        <v>0.93601285487109231</v>
      </c>
      <c r="S75">
        <v>8.5765170000000008</v>
      </c>
      <c r="T75">
        <v>0.112613</v>
      </c>
    </row>
    <row r="76" spans="1:20">
      <c r="A76">
        <v>17</v>
      </c>
      <c r="B76">
        <v>510</v>
      </c>
      <c r="C76">
        <v>21.4</v>
      </c>
      <c r="D76">
        <v>49.23</v>
      </c>
      <c r="E76">
        <f t="shared" si="2"/>
        <v>14.414657146706183</v>
      </c>
      <c r="F76">
        <f t="shared" si="3"/>
        <v>1.5671876599662817</v>
      </c>
      <c r="H76">
        <v>47.53</v>
      </c>
      <c r="I76">
        <v>12.38</v>
      </c>
      <c r="J76">
        <v>1.0285</v>
      </c>
      <c r="K76">
        <v>1.5326</v>
      </c>
      <c r="L76">
        <v>0.87830217772036379</v>
      </c>
      <c r="N76">
        <v>47.59</v>
      </c>
      <c r="O76">
        <v>13.1</v>
      </c>
      <c r="P76">
        <v>1.0331999999999999</v>
      </c>
      <c r="Q76">
        <v>2.8367</v>
      </c>
      <c r="R76">
        <v>0.93557579677890212</v>
      </c>
      <c r="S76">
        <v>8.5765170000000008</v>
      </c>
      <c r="T76">
        <v>0.112613</v>
      </c>
    </row>
    <row r="77" spans="1:20">
      <c r="A77">
        <v>18</v>
      </c>
      <c r="B77">
        <v>540</v>
      </c>
      <c r="C77">
        <v>21.4</v>
      </c>
      <c r="D77">
        <v>49.23</v>
      </c>
      <c r="E77">
        <f t="shared" si="2"/>
        <v>14.414657146706183</v>
      </c>
      <c r="F77">
        <f t="shared" si="3"/>
        <v>1.5671876599662817</v>
      </c>
      <c r="H77">
        <v>47.49</v>
      </c>
      <c r="I77">
        <v>12.38</v>
      </c>
      <c r="J77">
        <v>1.0290999999999999</v>
      </c>
      <c r="K77">
        <v>1.5326</v>
      </c>
      <c r="L77">
        <v>0.87885388097318151</v>
      </c>
      <c r="N77">
        <v>47.76</v>
      </c>
      <c r="O77">
        <v>13.2</v>
      </c>
      <c r="P77">
        <v>1.0374000000000001</v>
      </c>
      <c r="Q77">
        <v>2.8367</v>
      </c>
      <c r="R77">
        <v>0.94115653731427407</v>
      </c>
      <c r="S77">
        <v>8.5874179999999996</v>
      </c>
      <c r="T77">
        <v>0.112613</v>
      </c>
    </row>
    <row r="78" spans="1:20">
      <c r="A78">
        <v>19</v>
      </c>
      <c r="B78">
        <v>570</v>
      </c>
      <c r="C78">
        <v>21.7</v>
      </c>
      <c r="D78">
        <v>49.13</v>
      </c>
      <c r="E78">
        <f t="shared" si="2"/>
        <v>14.636449480642113</v>
      </c>
      <c r="F78">
        <f t="shared" si="3"/>
        <v>1.5931711337576722</v>
      </c>
      <c r="H78">
        <v>47.49</v>
      </c>
      <c r="I78">
        <v>12.38</v>
      </c>
      <c r="J78">
        <v>1.0290999999999999</v>
      </c>
      <c r="K78">
        <v>1.5326</v>
      </c>
      <c r="L78">
        <v>0.87885388097318151</v>
      </c>
      <c r="N78">
        <v>47.87</v>
      </c>
      <c r="O78">
        <v>13.14</v>
      </c>
      <c r="P78">
        <v>1.0310999999999999</v>
      </c>
      <c r="Q78">
        <v>2.8367</v>
      </c>
      <c r="R78">
        <v>0.93472931853927421</v>
      </c>
      <c r="S78">
        <v>8.5874179999999996</v>
      </c>
      <c r="T78">
        <v>0.112613</v>
      </c>
    </row>
    <row r="79" spans="1:20">
      <c r="A79">
        <v>20</v>
      </c>
      <c r="B79">
        <v>600</v>
      </c>
      <c r="C79">
        <v>21.7</v>
      </c>
      <c r="D79">
        <v>49.13</v>
      </c>
      <c r="E79">
        <f t="shared" si="2"/>
        <v>14.636449480642113</v>
      </c>
      <c r="F79">
        <f t="shared" si="3"/>
        <v>1.5931711337576722</v>
      </c>
      <c r="H79">
        <v>47.46</v>
      </c>
      <c r="I79">
        <v>12.36</v>
      </c>
      <c r="J79">
        <v>1.0279</v>
      </c>
      <c r="K79">
        <v>1.5326</v>
      </c>
      <c r="L79">
        <v>0.87765127284316735</v>
      </c>
      <c r="N79">
        <v>47.7</v>
      </c>
      <c r="O79">
        <v>13.14</v>
      </c>
      <c r="P79">
        <v>1.0335000000000001</v>
      </c>
      <c r="Q79">
        <v>2.8367</v>
      </c>
      <c r="R79">
        <v>0.93719923231266311</v>
      </c>
      <c r="S79">
        <v>8.5874179999999996</v>
      </c>
      <c r="T79">
        <v>0.112613</v>
      </c>
    </row>
    <row r="80" spans="1:20">
      <c r="A80">
        <v>21</v>
      </c>
      <c r="B80">
        <v>630</v>
      </c>
      <c r="C80">
        <v>21.7</v>
      </c>
      <c r="D80">
        <v>49.02</v>
      </c>
      <c r="E80">
        <f t="shared" si="2"/>
        <v>14.658200486355039</v>
      </c>
      <c r="F80">
        <f t="shared" si="3"/>
        <v>1.5957193132950291</v>
      </c>
      <c r="H80">
        <v>47.39</v>
      </c>
      <c r="I80">
        <v>12.39</v>
      </c>
      <c r="J80">
        <v>1.0314000000000001</v>
      </c>
      <c r="K80">
        <v>1.5326</v>
      </c>
      <c r="L80">
        <v>0.8810449809001758</v>
      </c>
      <c r="N80">
        <v>47.42</v>
      </c>
      <c r="O80">
        <v>13.38</v>
      </c>
      <c r="P80">
        <v>1.0546</v>
      </c>
      <c r="Q80">
        <v>2.8367</v>
      </c>
      <c r="R80">
        <v>0.9607047433650594</v>
      </c>
      <c r="S80">
        <v>8.6046980000000008</v>
      </c>
      <c r="T80">
        <v>0.112613</v>
      </c>
    </row>
    <row r="81" spans="1:20">
      <c r="A81">
        <v>22</v>
      </c>
      <c r="B81">
        <v>660</v>
      </c>
      <c r="C81">
        <v>21.7</v>
      </c>
      <c r="D81">
        <v>49.02</v>
      </c>
      <c r="E81">
        <f t="shared" si="2"/>
        <v>14.658200486355039</v>
      </c>
      <c r="F81">
        <f t="shared" si="3"/>
        <v>1.5957193132950291</v>
      </c>
      <c r="H81">
        <v>47.36</v>
      </c>
      <c r="I81">
        <v>12.39</v>
      </c>
      <c r="J81">
        <v>1.0318000000000001</v>
      </c>
      <c r="K81">
        <v>1.5326</v>
      </c>
      <c r="L81">
        <v>0.8814606388699513</v>
      </c>
      <c r="N81">
        <v>47.8</v>
      </c>
      <c r="O81">
        <v>13.38</v>
      </c>
      <c r="P81">
        <v>1.0474000000000001</v>
      </c>
      <c r="Q81">
        <v>2.8367</v>
      </c>
      <c r="R81">
        <v>0.95505575739645965</v>
      </c>
      <c r="S81">
        <v>8.6178899999999992</v>
      </c>
      <c r="T81">
        <v>0.112613</v>
      </c>
    </row>
    <row r="82" spans="1:20">
      <c r="A82">
        <v>23</v>
      </c>
      <c r="B82">
        <v>690</v>
      </c>
      <c r="C82">
        <v>21.3</v>
      </c>
      <c r="D82">
        <v>48.89</v>
      </c>
      <c r="E82">
        <f t="shared" si="2"/>
        <v>14.413317092976046</v>
      </c>
      <c r="F82">
        <f t="shared" si="3"/>
        <v>1.5670306696395278</v>
      </c>
      <c r="H82">
        <v>47.25</v>
      </c>
      <c r="I82">
        <v>12.39</v>
      </c>
      <c r="J82">
        <v>1.0334000000000001</v>
      </c>
      <c r="K82">
        <v>1.5326</v>
      </c>
      <c r="L82">
        <v>0.88298767132555678</v>
      </c>
      <c r="N82">
        <v>47.97</v>
      </c>
      <c r="O82">
        <v>13.38</v>
      </c>
      <c r="P82">
        <v>1.0437000000000001</v>
      </c>
      <c r="Q82">
        <v>2.8367</v>
      </c>
      <c r="R82">
        <v>0.95254762767285961</v>
      </c>
      <c r="S82">
        <v>8.6288280000000004</v>
      </c>
      <c r="T82">
        <v>0.112613</v>
      </c>
    </row>
    <row r="83" spans="1:20">
      <c r="A83">
        <v>24</v>
      </c>
      <c r="B83">
        <v>720</v>
      </c>
      <c r="C83">
        <v>21.3</v>
      </c>
      <c r="D83">
        <v>48.89</v>
      </c>
      <c r="E83">
        <f t="shared" si="2"/>
        <v>14.413317092976046</v>
      </c>
      <c r="F83">
        <f t="shared" si="3"/>
        <v>1.5670306696395278</v>
      </c>
      <c r="H83">
        <v>47.25</v>
      </c>
      <c r="I83">
        <v>12.39</v>
      </c>
      <c r="J83">
        <v>1.0334000000000001</v>
      </c>
      <c r="K83">
        <v>1.5326</v>
      </c>
      <c r="L83">
        <v>0.88298767132555678</v>
      </c>
      <c r="N83">
        <v>48.07</v>
      </c>
      <c r="O83">
        <v>13.38</v>
      </c>
      <c r="P83">
        <v>1.0422</v>
      </c>
      <c r="Q83">
        <v>2.8367</v>
      </c>
      <c r="R83">
        <v>0.95107770886914922</v>
      </c>
      <c r="S83">
        <v>8.6288280000000004</v>
      </c>
      <c r="T83">
        <v>0.112613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t-C,Cond_graph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　和史</dc:creator>
  <cp:lastModifiedBy>山本　和史</cp:lastModifiedBy>
  <dcterms:created xsi:type="dcterms:W3CDTF">2026-06-09T06:29:03Z</dcterms:created>
  <dcterms:modified xsi:type="dcterms:W3CDTF">2026-06-09T06:29:30Z</dcterms:modified>
</cp:coreProperties>
</file>